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signments\Assignments\STAT\"/>
    </mc:Choice>
  </mc:AlternateContent>
  <xr:revisionPtr revIDLastSave="0" documentId="13_ncr:1_{45916B98-8A51-4897-871F-6EF0BBF69B80}" xr6:coauthVersionLast="47" xr6:coauthVersionMax="47" xr10:uidLastSave="{00000000-0000-0000-0000-000000000000}"/>
  <bookViews>
    <workbookView xWindow="-120" yWindow="-120" windowWidth="29040" windowHeight="16440" activeTab="3" xr2:uid="{92D23EDC-66E5-47E6-AD27-E61604CE6C3D}"/>
  </bookViews>
  <sheets>
    <sheet name="Sheet1" sheetId="1" r:id="rId1"/>
    <sheet name="Sheet2" sheetId="2" r:id="rId2"/>
    <sheet name="Sheet4" sheetId="4" r:id="rId3"/>
    <sheet name="sheet3" sheetId="3" r:id="rId4"/>
  </sheets>
  <definedNames>
    <definedName name="change_in_production__Y">Sheet1!$C$2:$C$21</definedName>
    <definedName name="n">Sheet1!$C$25</definedName>
    <definedName name="P.E.">Sheet1!$C$27</definedName>
    <definedName name="Production__X">Sheet1!$B$2:$B$21</definedName>
    <definedName name="r_">Sheet1!$C$26</definedName>
    <definedName name="X">Sheet1!$B$2:$B$21</definedName>
    <definedName name="Y">Sheet1!$C$2:$C$21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3" l="1"/>
  <c r="B40" i="1"/>
  <c r="C26" i="3"/>
  <c r="E3" i="3"/>
  <c r="E4" i="3"/>
  <c r="E5" i="3"/>
  <c r="E6" i="3"/>
  <c r="E7" i="3"/>
  <c r="E8" i="3"/>
  <c r="E9" i="3"/>
  <c r="F9" i="3" s="1"/>
  <c r="G9" i="3" s="1"/>
  <c r="E10" i="3"/>
  <c r="E11" i="3"/>
  <c r="E12" i="3"/>
  <c r="E13" i="3"/>
  <c r="F13" i="3" s="1"/>
  <c r="G13" i="3" s="1"/>
  <c r="E14" i="3"/>
  <c r="F14" i="3" s="1"/>
  <c r="G14" i="3" s="1"/>
  <c r="E15" i="3"/>
  <c r="F15" i="3" s="1"/>
  <c r="G15" i="3" s="1"/>
  <c r="E16" i="3"/>
  <c r="E17" i="3"/>
  <c r="E18" i="3"/>
  <c r="E19" i="3"/>
  <c r="E20" i="3"/>
  <c r="E21" i="3"/>
  <c r="E2" i="3"/>
  <c r="D3" i="3"/>
  <c r="D4" i="3"/>
  <c r="D5" i="3"/>
  <c r="D6" i="3"/>
  <c r="D7" i="3"/>
  <c r="D8" i="3"/>
  <c r="D9" i="3"/>
  <c r="D10" i="3"/>
  <c r="D11" i="3"/>
  <c r="F11" i="3" s="1"/>
  <c r="G11" i="3" s="1"/>
  <c r="D12" i="3"/>
  <c r="D13" i="3"/>
  <c r="D14" i="3"/>
  <c r="D15" i="3"/>
  <c r="D16" i="3"/>
  <c r="D17" i="3"/>
  <c r="D18" i="3"/>
  <c r="D19" i="3"/>
  <c r="F19" i="3" s="1"/>
  <c r="G19" i="3" s="1"/>
  <c r="D20" i="3"/>
  <c r="D21" i="3"/>
  <c r="D2" i="3"/>
  <c r="F21" i="3"/>
  <c r="G21" i="3" s="1"/>
  <c r="F7" i="3"/>
  <c r="G7" i="3" s="1"/>
  <c r="D26" i="3"/>
  <c r="D27" i="3"/>
  <c r="F5" i="3" l="1"/>
  <c r="G5" i="3" s="1"/>
  <c r="F6" i="3"/>
  <c r="G6" i="3" s="1"/>
  <c r="F17" i="3"/>
  <c r="G17" i="3" s="1"/>
  <c r="F16" i="3"/>
  <c r="G16" i="3" s="1"/>
  <c r="F8" i="3"/>
  <c r="G8" i="3" s="1"/>
  <c r="F2" i="3"/>
  <c r="G2" i="3" s="1"/>
  <c r="F3" i="3"/>
  <c r="G3" i="3" s="1"/>
  <c r="F12" i="3"/>
  <c r="G12" i="3" s="1"/>
  <c r="F4" i="3"/>
  <c r="G4" i="3" s="1"/>
  <c r="F18" i="3"/>
  <c r="G18" i="3" s="1"/>
  <c r="F10" i="3"/>
  <c r="G10" i="3" s="1"/>
  <c r="F20" i="3"/>
  <c r="G20" i="3" s="1"/>
  <c r="C26" i="1"/>
  <c r="C25" i="1"/>
  <c r="D28" i="1"/>
  <c r="D29" i="1"/>
  <c r="D25" i="1"/>
  <c r="D31" i="1"/>
  <c r="D26" i="1"/>
  <c r="D27" i="1"/>
  <c r="D32" i="1"/>
  <c r="C27" i="1" l="1"/>
  <c r="C28" i="1" s="1"/>
  <c r="B38" i="1"/>
  <c r="B39" i="1"/>
  <c r="G22" i="3"/>
  <c r="C27" i="3" s="1"/>
  <c r="C29" i="1"/>
  <c r="C32" i="1"/>
  <c r="C31" i="1"/>
</calcChain>
</file>

<file path=xl/sharedStrings.xml><?xml version="1.0" encoding="utf-8"?>
<sst xmlns="http://schemas.openxmlformats.org/spreadsheetml/2006/main" count="82" uniqueCount="64">
  <si>
    <t>Employee number</t>
  </si>
  <si>
    <t>cases</t>
  </si>
  <si>
    <t xml:space="preserve">symbol </t>
  </si>
  <si>
    <t>formula</t>
  </si>
  <si>
    <t>value</t>
  </si>
  <si>
    <t>no. of obs</t>
  </si>
  <si>
    <t>correlation coeff.</t>
  </si>
  <si>
    <t>Probable error</t>
  </si>
  <si>
    <t>6*Probable error</t>
  </si>
  <si>
    <t>Coeff. Of Determination</t>
  </si>
  <si>
    <t>Limits of population correlation coeff.</t>
  </si>
  <si>
    <t>Upper Limit</t>
  </si>
  <si>
    <t>Lower limit</t>
  </si>
  <si>
    <t>n</t>
  </si>
  <si>
    <t>r</t>
  </si>
  <si>
    <t>P.E.</t>
  </si>
  <si>
    <t>6*P.E.</t>
  </si>
  <si>
    <t>r-P.E.</t>
  </si>
  <si>
    <t>r+P.E</t>
  </si>
  <si>
    <r>
      <t>R</t>
    </r>
    <r>
      <rPr>
        <vertAlign val="superscript"/>
        <sz val="11"/>
        <color theme="1"/>
        <rFont val="Calibri"/>
        <family val="2"/>
        <scheme val="minor"/>
      </rPr>
      <t>2</t>
    </r>
  </si>
  <si>
    <t>X</t>
  </si>
  <si>
    <t>Y</t>
  </si>
  <si>
    <t>Conclusion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</si>
  <si>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</si>
  <si>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</si>
  <si>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</si>
  <si>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</si>
  <si>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</si>
  <si>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</si>
  <si>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</si>
  <si>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</si>
  <si>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</si>
  <si>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</si>
  <si>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</si>
  <si>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</si>
  <si>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</si>
  <si>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</si>
  <si>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</si>
  <si>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</si>
  <si>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</si>
  <si>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</si>
  <si>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</si>
  <si>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</si>
  <si>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</si>
  <si>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</si>
  <si>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</si>
  <si>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</si>
  <si>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</si>
  <si>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</si>
  <si>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Y</t>
  </si>
  <si>
    <t>Residuals</t>
  </si>
  <si>
    <t>PROBABILITY OUTPUT</t>
  </si>
  <si>
    <t>Percentile</t>
  </si>
  <si>
    <t>rank of x</t>
  </si>
  <si>
    <t>rank of y</t>
  </si>
  <si>
    <t>d</t>
  </si>
  <si>
    <r>
      <t>d</t>
    </r>
    <r>
      <rPr>
        <vertAlign val="superscript"/>
        <sz val="11"/>
        <color rgb="FF000000"/>
        <rFont val="Calibri"/>
        <family val="2"/>
        <scheme val="minor"/>
      </rPr>
      <t>2</t>
    </r>
  </si>
  <si>
    <t>symbol</t>
  </si>
  <si>
    <t>no of obs</t>
  </si>
  <si>
    <t>Row Labels</t>
  </si>
  <si>
    <t>Grand Total</t>
  </si>
  <si>
    <r>
      <t>Ed</t>
    </r>
    <r>
      <rPr>
        <vertAlign val="superscript"/>
        <sz val="11"/>
        <color theme="1"/>
        <rFont val="Calibri"/>
        <family val="2"/>
        <scheme val="minor"/>
      </rPr>
      <t>2</t>
    </r>
  </si>
  <si>
    <t>Count of Y</t>
  </si>
  <si>
    <t>spearman rank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</si>
</sst>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0" fillId="0" borderId="5" xfId="0" applyBorder="1"/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Continuous"/>
    </xf>
    <xf numFmtId="0" fontId="0" fillId="0" borderId="0" xfId="0" applyAlignment="1">
      <alignment wrapText="1"/>
    </xf>
    <xf numFmtId="0" fontId="3" fillId="0" borderId="6" xfId="0" applyFont="1" applyBorder="1" applyAlignment="1">
      <alignment horizontal="centerContinuous" wrapText="1"/>
    </xf>
    <xf numFmtId="0" fontId="0" fillId="0" borderId="5" xfId="0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1" fillId="0" borderId="7" xfId="0" applyFont="1" applyBorder="1" applyAlignment="1">
      <alignment vertical="center" wrapText="1"/>
    </xf>
    <xf numFmtId="0" fontId="0" fillId="0" borderId="7" xfId="0" applyBorder="1"/>
    <xf numFmtId="0" fontId="1" fillId="0" borderId="7" xfId="0" applyFont="1" applyBorder="1" applyAlignment="1">
      <alignment horizontal="right" vertical="center"/>
    </xf>
    <xf numFmtId="0" fontId="0" fillId="0" borderId="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5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Sheet2!$B$2:$B$21</c:f>
              <c:numCache>
                <c:formatCode>General</c:formatCode>
                <c:ptCount val="20"/>
                <c:pt idx="0">
                  <c:v>47</c:v>
                </c:pt>
                <c:pt idx="1">
                  <c:v>71</c:v>
                </c:pt>
                <c:pt idx="2">
                  <c:v>64</c:v>
                </c:pt>
                <c:pt idx="3">
                  <c:v>35</c:v>
                </c:pt>
                <c:pt idx="4">
                  <c:v>43</c:v>
                </c:pt>
                <c:pt idx="5">
                  <c:v>60</c:v>
                </c:pt>
                <c:pt idx="6">
                  <c:v>38</c:v>
                </c:pt>
                <c:pt idx="7">
                  <c:v>59</c:v>
                </c:pt>
                <c:pt idx="8">
                  <c:v>67</c:v>
                </c:pt>
                <c:pt idx="9">
                  <c:v>56</c:v>
                </c:pt>
                <c:pt idx="10">
                  <c:v>67</c:v>
                </c:pt>
                <c:pt idx="11">
                  <c:v>57</c:v>
                </c:pt>
                <c:pt idx="12">
                  <c:v>69</c:v>
                </c:pt>
                <c:pt idx="13">
                  <c:v>38</c:v>
                </c:pt>
                <c:pt idx="14">
                  <c:v>54</c:v>
                </c:pt>
                <c:pt idx="15">
                  <c:v>76</c:v>
                </c:pt>
                <c:pt idx="16">
                  <c:v>53</c:v>
                </c:pt>
                <c:pt idx="17">
                  <c:v>40</c:v>
                </c:pt>
                <c:pt idx="18">
                  <c:v>47</c:v>
                </c:pt>
                <c:pt idx="19">
                  <c:v>23</c:v>
                </c:pt>
              </c:numCache>
            </c:numRef>
          </c:xVal>
          <c:yVal>
            <c:numRef>
              <c:f>Sheet2!$C$48:$C$67</c:f>
              <c:numCache>
                <c:formatCode>General</c:formatCode>
                <c:ptCount val="20"/>
                <c:pt idx="0">
                  <c:v>-0.77258219470538059</c:v>
                </c:pt>
                <c:pt idx="1">
                  <c:v>0.93096178479931524</c:v>
                </c:pt>
                <c:pt idx="2">
                  <c:v>0.27159479077711257</c:v>
                </c:pt>
                <c:pt idx="3">
                  <c:v>0.42564581554227088</c:v>
                </c:pt>
                <c:pt idx="4">
                  <c:v>0.39349380871050332</c:v>
                </c:pt>
                <c:pt idx="5">
                  <c:v>1.3376707941929968</c:v>
                </c:pt>
                <c:pt idx="6">
                  <c:v>0.55108881298035861</c:v>
                </c:pt>
                <c:pt idx="7">
                  <c:v>-0.17081020495303179</c:v>
                </c:pt>
                <c:pt idx="8">
                  <c:v>9.7037788215200038E-2</c:v>
                </c:pt>
                <c:pt idx="9">
                  <c:v>-9.6253202391118897E-2</c:v>
                </c:pt>
                <c:pt idx="10">
                  <c:v>-1.1029622117848001</c:v>
                </c:pt>
                <c:pt idx="11">
                  <c:v>-0.48777220324508974</c:v>
                </c:pt>
                <c:pt idx="12">
                  <c:v>0.51399978650725764</c:v>
                </c:pt>
                <c:pt idx="13">
                  <c:v>-0.34891118701964174</c:v>
                </c:pt>
                <c:pt idx="14">
                  <c:v>0.28678479931682332</c:v>
                </c:pt>
                <c:pt idx="15">
                  <c:v>-1.3266332194705388</c:v>
                </c:pt>
                <c:pt idx="16">
                  <c:v>0.17830380017079328</c:v>
                </c:pt>
                <c:pt idx="17">
                  <c:v>-0.33194918872758361</c:v>
                </c:pt>
                <c:pt idx="18">
                  <c:v>0.22741780529461941</c:v>
                </c:pt>
                <c:pt idx="19">
                  <c:v>-0.57612617421007695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65-45DE-98DF-DAABECDF4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558120"/>
        <c:axId val="584558840"/>
      </c:scatterChart>
      <c:valAx>
        <c:axId val="584558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4558840"/>
        <c:crosses val="autoZero"/>
        <c:crossBetween val="midCat"/>
      </c:valAx>
      <c:valAx>
        <c:axId val="5845588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455812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24211720174809706"/>
                  <c:y val="-5.0907039876450892E-3"/>
                </c:manualLayout>
              </c:layout>
              <c:numFmt formatCode="General" sourceLinked="0"/>
            </c:trendlineLbl>
          </c:trendline>
          <c:xVal>
            <c:numRef>
              <c:f>Sheet2!$B$2:$B$21</c:f>
              <c:numCache>
                <c:formatCode>General</c:formatCode>
                <c:ptCount val="20"/>
                <c:pt idx="0">
                  <c:v>47</c:v>
                </c:pt>
                <c:pt idx="1">
                  <c:v>71</c:v>
                </c:pt>
                <c:pt idx="2">
                  <c:v>64</c:v>
                </c:pt>
                <c:pt idx="3">
                  <c:v>35</c:v>
                </c:pt>
                <c:pt idx="4">
                  <c:v>43</c:v>
                </c:pt>
                <c:pt idx="5">
                  <c:v>60</c:v>
                </c:pt>
                <c:pt idx="6">
                  <c:v>38</c:v>
                </c:pt>
                <c:pt idx="7">
                  <c:v>59</c:v>
                </c:pt>
                <c:pt idx="8">
                  <c:v>67</c:v>
                </c:pt>
                <c:pt idx="9">
                  <c:v>56</c:v>
                </c:pt>
                <c:pt idx="10">
                  <c:v>67</c:v>
                </c:pt>
                <c:pt idx="11">
                  <c:v>57</c:v>
                </c:pt>
                <c:pt idx="12">
                  <c:v>69</c:v>
                </c:pt>
                <c:pt idx="13">
                  <c:v>38</c:v>
                </c:pt>
                <c:pt idx="14">
                  <c:v>54</c:v>
                </c:pt>
                <c:pt idx="15">
                  <c:v>76</c:v>
                </c:pt>
                <c:pt idx="16">
                  <c:v>53</c:v>
                </c:pt>
                <c:pt idx="17">
                  <c:v>40</c:v>
                </c:pt>
                <c:pt idx="18">
                  <c:v>47</c:v>
                </c:pt>
                <c:pt idx="19">
                  <c:v>23</c:v>
                </c:pt>
              </c:numCache>
            </c:numRef>
          </c:xVal>
          <c:yVal>
            <c:numRef>
              <c:f>Sheet2!$C$2:$C$21</c:f>
              <c:numCache>
                <c:formatCode>General</c:formatCode>
                <c:ptCount val="20"/>
                <c:pt idx="0">
                  <c:v>4.2</c:v>
                </c:pt>
                <c:pt idx="1">
                  <c:v>8.1</c:v>
                </c:pt>
                <c:pt idx="2">
                  <c:v>6.8</c:v>
                </c:pt>
                <c:pt idx="3">
                  <c:v>4.3</c:v>
                </c:pt>
                <c:pt idx="4">
                  <c:v>5</c:v>
                </c:pt>
                <c:pt idx="5">
                  <c:v>7.5</c:v>
                </c:pt>
                <c:pt idx="6">
                  <c:v>4.7</c:v>
                </c:pt>
                <c:pt idx="7">
                  <c:v>5.9</c:v>
                </c:pt>
                <c:pt idx="8">
                  <c:v>6.9</c:v>
                </c:pt>
                <c:pt idx="9">
                  <c:v>5.7</c:v>
                </c:pt>
                <c:pt idx="10">
                  <c:v>5.7</c:v>
                </c:pt>
                <c:pt idx="11">
                  <c:v>5.4</c:v>
                </c:pt>
                <c:pt idx="12">
                  <c:v>7.5</c:v>
                </c:pt>
                <c:pt idx="13">
                  <c:v>3.8</c:v>
                </c:pt>
                <c:pt idx="14">
                  <c:v>5.9</c:v>
                </c:pt>
                <c:pt idx="15">
                  <c:v>6.3</c:v>
                </c:pt>
                <c:pt idx="16">
                  <c:v>5.7</c:v>
                </c:pt>
                <c:pt idx="17">
                  <c:v>4</c:v>
                </c:pt>
                <c:pt idx="18">
                  <c:v>5.2</c:v>
                </c:pt>
                <c:pt idx="19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05-4F77-9DAA-B2B4EDCAA37F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Sheet2!$B$2:$B$21</c:f>
              <c:numCache>
                <c:formatCode>General</c:formatCode>
                <c:ptCount val="20"/>
                <c:pt idx="0">
                  <c:v>47</c:v>
                </c:pt>
                <c:pt idx="1">
                  <c:v>71</c:v>
                </c:pt>
                <c:pt idx="2">
                  <c:v>64</c:v>
                </c:pt>
                <c:pt idx="3">
                  <c:v>35</c:v>
                </c:pt>
                <c:pt idx="4">
                  <c:v>43</c:v>
                </c:pt>
                <c:pt idx="5">
                  <c:v>60</c:v>
                </c:pt>
                <c:pt idx="6">
                  <c:v>38</c:v>
                </c:pt>
                <c:pt idx="7">
                  <c:v>59</c:v>
                </c:pt>
                <c:pt idx="8">
                  <c:v>67</c:v>
                </c:pt>
                <c:pt idx="9">
                  <c:v>56</c:v>
                </c:pt>
                <c:pt idx="10">
                  <c:v>67</c:v>
                </c:pt>
                <c:pt idx="11">
                  <c:v>57</c:v>
                </c:pt>
                <c:pt idx="12">
                  <c:v>69</c:v>
                </c:pt>
                <c:pt idx="13">
                  <c:v>38</c:v>
                </c:pt>
                <c:pt idx="14">
                  <c:v>54</c:v>
                </c:pt>
                <c:pt idx="15">
                  <c:v>76</c:v>
                </c:pt>
                <c:pt idx="16">
                  <c:v>53</c:v>
                </c:pt>
                <c:pt idx="17">
                  <c:v>40</c:v>
                </c:pt>
                <c:pt idx="18">
                  <c:v>47</c:v>
                </c:pt>
                <c:pt idx="19">
                  <c:v>23</c:v>
                </c:pt>
              </c:numCache>
            </c:numRef>
          </c:xVal>
          <c:yVal>
            <c:numRef>
              <c:f>Sheet2!$B$48:$B$67</c:f>
              <c:numCache>
                <c:formatCode>General</c:formatCode>
                <c:ptCount val="20"/>
                <c:pt idx="0">
                  <c:v>4.9725821947053808</c:v>
                </c:pt>
                <c:pt idx="1">
                  <c:v>7.1690382152006844</c:v>
                </c:pt>
                <c:pt idx="2">
                  <c:v>6.5284052092228873</c:v>
                </c:pt>
                <c:pt idx="3">
                  <c:v>3.8743541844577289</c:v>
                </c:pt>
                <c:pt idx="4">
                  <c:v>4.6065061912894967</c:v>
                </c:pt>
                <c:pt idx="5">
                  <c:v>6.1623292058070032</c:v>
                </c:pt>
                <c:pt idx="6">
                  <c:v>4.1489111870196416</c:v>
                </c:pt>
                <c:pt idx="7">
                  <c:v>6.0708102049530321</c:v>
                </c:pt>
                <c:pt idx="8">
                  <c:v>6.8029622117848003</c:v>
                </c:pt>
                <c:pt idx="9">
                  <c:v>5.7962532023911191</c:v>
                </c:pt>
                <c:pt idx="10">
                  <c:v>6.8029622117848003</c:v>
                </c:pt>
                <c:pt idx="11">
                  <c:v>5.8877722032450901</c:v>
                </c:pt>
                <c:pt idx="12">
                  <c:v>6.9860002134927424</c:v>
                </c:pt>
                <c:pt idx="13">
                  <c:v>4.1489111870196416</c:v>
                </c:pt>
                <c:pt idx="14">
                  <c:v>5.613215200683177</c:v>
                </c:pt>
                <c:pt idx="15">
                  <c:v>7.6266332194705386</c:v>
                </c:pt>
                <c:pt idx="16">
                  <c:v>5.5216961998292069</c:v>
                </c:pt>
                <c:pt idx="17">
                  <c:v>4.3319491887275836</c:v>
                </c:pt>
                <c:pt idx="18">
                  <c:v>4.9725821947053808</c:v>
                </c:pt>
                <c:pt idx="19">
                  <c:v>2.7761261742100771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05-4F77-9DAA-B2B4EDCAA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567120"/>
        <c:axId val="584565680"/>
      </c:scatterChart>
      <c:valAx>
        <c:axId val="584567120"/>
        <c:scaling>
          <c:orientation val="minMax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4565680"/>
        <c:crosses val="autoZero"/>
        <c:crossBetween val="midCat"/>
      </c:valAx>
      <c:valAx>
        <c:axId val="5845656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456712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Sheet2!$E$48:$E$67</c:f>
              <c:numCache>
                <c:formatCode>General</c:formatCode>
                <c:ptCount val="2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</c:numCache>
            </c:numRef>
          </c:xVal>
          <c:yVal>
            <c:numRef>
              <c:f>Sheet2!$F$48:$F$67</c:f>
              <c:numCache>
                <c:formatCode>General</c:formatCode>
                <c:ptCount val="20"/>
                <c:pt idx="0">
                  <c:v>2.2000000000000002</c:v>
                </c:pt>
                <c:pt idx="1">
                  <c:v>3.8</c:v>
                </c:pt>
                <c:pt idx="2">
                  <c:v>4</c:v>
                </c:pt>
                <c:pt idx="3">
                  <c:v>4.2</c:v>
                </c:pt>
                <c:pt idx="4">
                  <c:v>4.3</c:v>
                </c:pt>
                <c:pt idx="5">
                  <c:v>4.7</c:v>
                </c:pt>
                <c:pt idx="6">
                  <c:v>5</c:v>
                </c:pt>
                <c:pt idx="7">
                  <c:v>5.2</c:v>
                </c:pt>
                <c:pt idx="8">
                  <c:v>5.4</c:v>
                </c:pt>
                <c:pt idx="9">
                  <c:v>5.7</c:v>
                </c:pt>
                <c:pt idx="10">
                  <c:v>5.7</c:v>
                </c:pt>
                <c:pt idx="11">
                  <c:v>5.7</c:v>
                </c:pt>
                <c:pt idx="12">
                  <c:v>5.9</c:v>
                </c:pt>
                <c:pt idx="13">
                  <c:v>5.9</c:v>
                </c:pt>
                <c:pt idx="14">
                  <c:v>6.3</c:v>
                </c:pt>
                <c:pt idx="15">
                  <c:v>6.8</c:v>
                </c:pt>
                <c:pt idx="16">
                  <c:v>6.9</c:v>
                </c:pt>
                <c:pt idx="17">
                  <c:v>7.5</c:v>
                </c:pt>
                <c:pt idx="18">
                  <c:v>7.5</c:v>
                </c:pt>
                <c:pt idx="19">
                  <c:v>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93-4168-A943-915F61253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568200"/>
        <c:axId val="584564960"/>
      </c:scatterChart>
      <c:valAx>
        <c:axId val="584568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4564960"/>
        <c:crosses val="autoZero"/>
        <c:crossBetween val="midCat"/>
      </c:valAx>
      <c:valAx>
        <c:axId val="584564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45682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61319</xdr:colOff>
      <xdr:row>68</xdr:row>
      <xdr:rowOff>167282</xdr:rowOff>
    </xdr:from>
    <xdr:to>
      <xdr:col>9</xdr:col>
      <xdr:colOff>496094</xdr:colOff>
      <xdr:row>89</xdr:row>
      <xdr:rowOff>128983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261D67-6A74-F929-A56D-9D4710FE6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103583</xdr:colOff>
      <xdr:row>91</xdr:row>
      <xdr:rowOff>167087</xdr:rowOff>
    </xdr:from>
    <xdr:to>
      <xdr:col>9</xdr:col>
      <xdr:colOff>178593</xdr:colOff>
      <xdr:row>108</xdr:row>
      <xdr:rowOff>157164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19E3E5-E566-05DD-CB01-55ADAE2A5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104180</xdr:colOff>
      <xdr:row>109</xdr:row>
      <xdr:rowOff>39690</xdr:rowOff>
    </xdr:from>
    <xdr:to>
      <xdr:col>9</xdr:col>
      <xdr:colOff>168672</xdr:colOff>
      <xdr:row>127</xdr:row>
      <xdr:rowOff>128987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0A65AC-5A60-4FFA-AAE9-B057396F8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besh Shakya" refreshedDate="46265.540241319446" createdVersion="8" refreshedVersion="8" minRefreshableVersion="3" recordCount="20" xr:uid="{F43185D9-CDB7-44B7-813F-E7582B3196A9}">
  <cacheSource type="worksheet">
    <worksheetSource ref="B1:C21" sheet="sheet3"/>
  </cacheSource>
  <cacheFields count="2">
    <cacheField name="X" numFmtId="0">
      <sharedItems containsSemiMixedTypes="0" containsString="0" containsNumber="1" containsInteger="1" minValue="23" maxValue="76" count="17">
        <n v="47"/>
        <n v="71"/>
        <n v="64"/>
        <n v="35"/>
        <n v="43"/>
        <n v="60"/>
        <n v="38"/>
        <n v="59"/>
        <n v="67"/>
        <n v="56"/>
        <n v="57"/>
        <n v="69"/>
        <n v="54"/>
        <n v="76"/>
        <n v="53"/>
        <n v="40"/>
        <n v="23"/>
      </sharedItems>
    </cacheField>
    <cacheField name="Y" numFmtId="0">
      <sharedItems containsSemiMixedTypes="0" containsString="0" containsNumber="1" minValue="2.2000000000000002" maxValue="8.1" count="16">
        <n v="4.2"/>
        <n v="8.1"/>
        <n v="6.8"/>
        <n v="4.3"/>
        <n v="5"/>
        <n v="7.5"/>
        <n v="4.7"/>
        <n v="5.9"/>
        <n v="6.9"/>
        <n v="5.7"/>
        <n v="5.4"/>
        <n v="3.8"/>
        <n v="6.3"/>
        <n v="4"/>
        <n v="5.2"/>
        <n v="2.20000000000000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8"/>
    <x v="9"/>
  </r>
  <r>
    <x v="10"/>
    <x v="10"/>
  </r>
  <r>
    <x v="11"/>
    <x v="5"/>
  </r>
  <r>
    <x v="6"/>
    <x v="11"/>
  </r>
  <r>
    <x v="12"/>
    <x v="7"/>
  </r>
  <r>
    <x v="13"/>
    <x v="12"/>
  </r>
  <r>
    <x v="14"/>
    <x v="9"/>
  </r>
  <r>
    <x v="15"/>
    <x v="13"/>
  </r>
  <r>
    <x v="0"/>
    <x v="14"/>
  </r>
  <r>
    <x v="16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5846E6-31D2-4DBB-83DC-07E8D3AFD34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2">
    <pivotField showAll="0">
      <items count="18">
        <item x="16"/>
        <item x="3"/>
        <item x="6"/>
        <item x="15"/>
        <item x="4"/>
        <item x="0"/>
        <item x="14"/>
        <item x="12"/>
        <item x="9"/>
        <item x="10"/>
        <item x="7"/>
        <item x="5"/>
        <item x="2"/>
        <item x="8"/>
        <item x="11"/>
        <item x="1"/>
        <item x="13"/>
        <item t="default"/>
      </items>
    </pivotField>
    <pivotField axis="axisRow" dataField="1" showAll="0">
      <items count="17">
        <item x="15"/>
        <item x="11"/>
        <item x="13"/>
        <item x="0"/>
        <item x="3"/>
        <item x="6"/>
        <item x="4"/>
        <item x="14"/>
        <item x="10"/>
        <item x="9"/>
        <item x="7"/>
        <item x="12"/>
        <item x="2"/>
        <item x="8"/>
        <item x="5"/>
        <item x="1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Y" fld="1" subtotal="count" baseField="0" baseItem="13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BCD8-6CA3-49F8-9817-1DD4B329209C}">
  <dimension ref="A1:D40"/>
  <sheetViews>
    <sheetView topLeftCell="A21" workbookViewId="0">
      <selection activeCell="B40" sqref="B40"/>
    </sheetView>
  </sheetViews>
  <sheetFormatPr defaultRowHeight="15" x14ac:dyDescent="0.25"/>
  <sheetData>
    <row r="1" spans="1:3" ht="45.75" thickBot="1" x14ac:dyDescent="0.3">
      <c r="A1" s="1" t="s">
        <v>0</v>
      </c>
      <c r="B1" s="2" t="s">
        <v>20</v>
      </c>
      <c r="C1" s="2" t="s">
        <v>21</v>
      </c>
    </row>
    <row r="2" spans="1:3" ht="15.75" thickBot="1" x14ac:dyDescent="0.3">
      <c r="A2" s="3">
        <v>1</v>
      </c>
      <c r="B2" s="4">
        <v>47</v>
      </c>
      <c r="C2" s="4">
        <v>4.2</v>
      </c>
    </row>
    <row r="3" spans="1:3" ht="15.75" thickBot="1" x14ac:dyDescent="0.3">
      <c r="A3" s="3">
        <v>2</v>
      </c>
      <c r="B3" s="4">
        <v>71</v>
      </c>
      <c r="C3" s="4">
        <v>8.1</v>
      </c>
    </row>
    <row r="4" spans="1:3" ht="15.75" thickBot="1" x14ac:dyDescent="0.3">
      <c r="A4" s="3">
        <v>3</v>
      </c>
      <c r="B4" s="4">
        <v>64</v>
      </c>
      <c r="C4" s="4">
        <v>6.8</v>
      </c>
    </row>
    <row r="5" spans="1:3" ht="15.75" thickBot="1" x14ac:dyDescent="0.3">
      <c r="A5" s="3">
        <v>4</v>
      </c>
      <c r="B5" s="4">
        <v>35</v>
      </c>
      <c r="C5" s="4">
        <v>4.3</v>
      </c>
    </row>
    <row r="6" spans="1:3" ht="15.75" thickBot="1" x14ac:dyDescent="0.3">
      <c r="A6" s="3">
        <v>5</v>
      </c>
      <c r="B6" s="4">
        <v>43</v>
      </c>
      <c r="C6" s="4">
        <v>5</v>
      </c>
    </row>
    <row r="7" spans="1:3" ht="15.75" thickBot="1" x14ac:dyDescent="0.3">
      <c r="A7" s="3">
        <v>6</v>
      </c>
      <c r="B7" s="4">
        <v>60</v>
      </c>
      <c r="C7" s="4">
        <v>7.5</v>
      </c>
    </row>
    <row r="8" spans="1:3" ht="15.75" thickBot="1" x14ac:dyDescent="0.3">
      <c r="A8" s="3">
        <v>7</v>
      </c>
      <c r="B8" s="4">
        <v>38</v>
      </c>
      <c r="C8" s="4">
        <v>4.7</v>
      </c>
    </row>
    <row r="9" spans="1:3" ht="15.75" thickBot="1" x14ac:dyDescent="0.3">
      <c r="A9" s="3">
        <v>8</v>
      </c>
      <c r="B9" s="4">
        <v>59</v>
      </c>
      <c r="C9" s="4">
        <v>5.9</v>
      </c>
    </row>
    <row r="10" spans="1:3" ht="15.75" thickBot="1" x14ac:dyDescent="0.3">
      <c r="A10" s="3">
        <v>9</v>
      </c>
      <c r="B10" s="4">
        <v>67</v>
      </c>
      <c r="C10" s="4">
        <v>6.9</v>
      </c>
    </row>
    <row r="11" spans="1:3" ht="15.75" thickBot="1" x14ac:dyDescent="0.3">
      <c r="A11" s="3">
        <v>10</v>
      </c>
      <c r="B11" s="4">
        <v>56</v>
      </c>
      <c r="C11" s="4">
        <v>5.7</v>
      </c>
    </row>
    <row r="12" spans="1:3" ht="15.75" thickBot="1" x14ac:dyDescent="0.3">
      <c r="A12" s="3">
        <v>11</v>
      </c>
      <c r="B12" s="4">
        <v>67</v>
      </c>
      <c r="C12" s="4">
        <v>5.7</v>
      </c>
    </row>
    <row r="13" spans="1:3" ht="15.75" thickBot="1" x14ac:dyDescent="0.3">
      <c r="A13" s="3">
        <v>12</v>
      </c>
      <c r="B13" s="4">
        <v>57</v>
      </c>
      <c r="C13" s="4">
        <v>5.4</v>
      </c>
    </row>
    <row r="14" spans="1:3" ht="15.75" thickBot="1" x14ac:dyDescent="0.3">
      <c r="A14" s="3">
        <v>13</v>
      </c>
      <c r="B14" s="4">
        <v>69</v>
      </c>
      <c r="C14" s="4">
        <v>7.5</v>
      </c>
    </row>
    <row r="15" spans="1:3" ht="15.75" thickBot="1" x14ac:dyDescent="0.3">
      <c r="A15" s="3">
        <v>14</v>
      </c>
      <c r="B15" s="4">
        <v>38</v>
      </c>
      <c r="C15" s="4">
        <v>3.8</v>
      </c>
    </row>
    <row r="16" spans="1:3" ht="15.75" thickBot="1" x14ac:dyDescent="0.3">
      <c r="A16" s="3">
        <v>15</v>
      </c>
      <c r="B16" s="4">
        <v>54</v>
      </c>
      <c r="C16" s="4">
        <v>5.9</v>
      </c>
    </row>
    <row r="17" spans="1:4" ht="15.75" thickBot="1" x14ac:dyDescent="0.3">
      <c r="A17" s="3">
        <v>16</v>
      </c>
      <c r="B17" s="4">
        <v>76</v>
      </c>
      <c r="C17" s="4">
        <v>6.3</v>
      </c>
    </row>
    <row r="18" spans="1:4" ht="15.75" thickBot="1" x14ac:dyDescent="0.3">
      <c r="A18" s="3">
        <v>17</v>
      </c>
      <c r="B18" s="4">
        <v>53</v>
      </c>
      <c r="C18" s="4">
        <v>5.7</v>
      </c>
    </row>
    <row r="19" spans="1:4" ht="15.75" thickBot="1" x14ac:dyDescent="0.3">
      <c r="A19" s="3">
        <v>18</v>
      </c>
      <c r="B19" s="4">
        <v>40</v>
      </c>
      <c r="C19" s="4">
        <v>4</v>
      </c>
    </row>
    <row r="20" spans="1:4" ht="15.75" thickBot="1" x14ac:dyDescent="0.3">
      <c r="A20" s="3">
        <v>19</v>
      </c>
      <c r="B20" s="4">
        <v>47</v>
      </c>
      <c r="C20" s="4">
        <v>5.2</v>
      </c>
    </row>
    <row r="21" spans="1:4" ht="15.75" thickBot="1" x14ac:dyDescent="0.3">
      <c r="A21" s="3">
        <v>20</v>
      </c>
      <c r="B21" s="4">
        <v>23</v>
      </c>
      <c r="C21" s="4">
        <v>2.2000000000000002</v>
      </c>
    </row>
    <row r="24" spans="1:4" x14ac:dyDescent="0.25">
      <c r="A24" t="s">
        <v>1</v>
      </c>
      <c r="B24" t="s">
        <v>2</v>
      </c>
      <c r="C24" t="s">
        <v>4</v>
      </c>
      <c r="D24" t="s">
        <v>3</v>
      </c>
    </row>
    <row r="25" spans="1:4" x14ac:dyDescent="0.25">
      <c r="A25" t="s">
        <v>5</v>
      </c>
      <c r="B25" t="s">
        <v>13</v>
      </c>
      <c r="C25">
        <f>COUNT(X)</f>
        <v>20</v>
      </c>
      <c r="D25" t="str">
        <f ca="1">_xlfn.FORMULATEXT(C25)</f>
        <v>=COUNT(X)</v>
      </c>
    </row>
    <row r="26" spans="1:4" x14ac:dyDescent="0.25">
      <c r="A26" t="s">
        <v>6</v>
      </c>
      <c r="B26" t="s">
        <v>14</v>
      </c>
      <c r="C26">
        <f>CORREL(X,Y)</f>
        <v>0.89017060734518583</v>
      </c>
      <c r="D26" t="str">
        <f t="shared" ref="D26:D32" ca="1" si="0">_xlfn.FORMULATEXT(C26)</f>
        <v>=CORREL(X,Y)</v>
      </c>
    </row>
    <row r="27" spans="1:4" x14ac:dyDescent="0.25">
      <c r="A27" t="s">
        <v>7</v>
      </c>
      <c r="B27" t="s">
        <v>15</v>
      </c>
      <c r="C27">
        <f>0.6745*(1-r_^2)/SQRT(n)</f>
        <v>3.1310250603221734E-2</v>
      </c>
      <c r="D27" t="str">
        <f t="shared" ca="1" si="0"/>
        <v>=0.6745*(1-r_^2)/SQRT(n)</v>
      </c>
    </row>
    <row r="28" spans="1:4" x14ac:dyDescent="0.25">
      <c r="A28" t="s">
        <v>8</v>
      </c>
      <c r="B28" t="s">
        <v>16</v>
      </c>
      <c r="C28">
        <f>6*P.E.</f>
        <v>0.18786150361933041</v>
      </c>
      <c r="D28" t="str">
        <f t="shared" ca="1" si="0"/>
        <v>=6*P.E.</v>
      </c>
    </row>
    <row r="29" spans="1:4" ht="17.25" x14ac:dyDescent="0.25">
      <c r="A29" t="s">
        <v>9</v>
      </c>
      <c r="B29" t="s">
        <v>19</v>
      </c>
      <c r="C29">
        <f>r_^2</f>
        <v>0.79240371018129696</v>
      </c>
      <c r="D29" t="str">
        <f t="shared" ca="1" si="0"/>
        <v>=r_^2</v>
      </c>
    </row>
    <row r="30" spans="1:4" x14ac:dyDescent="0.25">
      <c r="A30" t="s">
        <v>10</v>
      </c>
    </row>
    <row r="31" spans="1:4" x14ac:dyDescent="0.25">
      <c r="A31" t="s">
        <v>12</v>
      </c>
      <c r="B31" t="s">
        <v>17</v>
      </c>
      <c r="C31">
        <f>r_-P.E.</f>
        <v>0.85886035674196415</v>
      </c>
      <c r="D31" t="str">
        <f t="shared" ca="1" si="0"/>
        <v>=r_-P.E.</v>
      </c>
    </row>
    <row r="32" spans="1:4" x14ac:dyDescent="0.25">
      <c r="A32" t="s">
        <v>11</v>
      </c>
      <c r="B32" t="s">
        <v>18</v>
      </c>
      <c r="C32">
        <f>r_+P.E.</f>
        <v>0.92148085794840751</v>
      </c>
      <c r="D32" t="str">
        <f t="shared" ca="1" si="0"/>
        <v>=r_+P.E.</v>
      </c>
    </row>
    <row r="33" spans="1:3" ht="15.75" thickBot="1" x14ac:dyDescent="0.3"/>
    <row r="34" spans="1:3" x14ac:dyDescent="0.25">
      <c r="A34" s="6"/>
      <c r="B34" s="6" t="s">
        <v>20</v>
      </c>
      <c r="C34" s="6" t="s">
        <v>21</v>
      </c>
    </row>
    <row r="35" spans="1:3" x14ac:dyDescent="0.25">
      <c r="A35" t="s">
        <v>20</v>
      </c>
      <c r="B35">
        <v>1</v>
      </c>
    </row>
    <row r="36" spans="1:3" ht="15.75" thickBot="1" x14ac:dyDescent="0.3">
      <c r="A36" s="5" t="s">
        <v>21</v>
      </c>
      <c r="B36" s="5">
        <v>0.89017060734518583</v>
      </c>
      <c r="C36" s="5">
        <v>1</v>
      </c>
    </row>
    <row r="37" spans="1:3" x14ac:dyDescent="0.25">
      <c r="A37" t="s">
        <v>22</v>
      </c>
    </row>
    <row r="38" spans="1:3" x14ac:dyDescent="0.25">
      <c r="A38">
        <v>1</v>
      </c>
      <c r="B38" t="str">
        <f>IF(r_&gt;0,"It is positively correlated",IF(r_&lt;0,"It is negatively correlated","No correlation"))</f>
        <v>It is positively correlated</v>
      </c>
    </row>
    <row r="39" spans="1:3" x14ac:dyDescent="0.25">
      <c r="A39">
        <v>2</v>
      </c>
      <c r="B39" t="str">
        <f>IF(r_&gt;6*P.E.,"It is significant",IF(r_&lt;6*P.E.,"It is insignificant","No Conclusion"))</f>
        <v>It is significant</v>
      </c>
    </row>
    <row r="40" spans="1:3" x14ac:dyDescent="0.25">
      <c r="A40">
        <v>3</v>
      </c>
      <c r="B40" t="str">
        <f>CONCATENATE("Since R^2 = ",ROUND(C29,5)," then ",ROUND(r_^2*100,3),"% of the vairation in the dependent variable is presented by independent variable")</f>
        <v>Since R^2 = 0.7924 then 79.24% of the vairation in the dependent variable is presented by independent variable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2A78-DCB5-4A83-9A77-A62D5C369C3B}">
  <dimension ref="A1:I67"/>
  <sheetViews>
    <sheetView topLeftCell="A96" zoomScale="96" zoomScaleNormal="96" workbookViewId="0">
      <selection sqref="A1:C21"/>
    </sheetView>
  </sheetViews>
  <sheetFormatPr defaultRowHeight="15" x14ac:dyDescent="0.25"/>
  <sheetData>
    <row r="1" spans="1:3" ht="45.75" thickBot="1" x14ac:dyDescent="0.3">
      <c r="A1" s="1" t="s">
        <v>0</v>
      </c>
      <c r="B1" s="2" t="s">
        <v>20</v>
      </c>
      <c r="C1" s="2" t="s">
        <v>21</v>
      </c>
    </row>
    <row r="2" spans="1:3" ht="15.75" thickBot="1" x14ac:dyDescent="0.3">
      <c r="A2" s="3">
        <v>1</v>
      </c>
      <c r="B2" s="4">
        <v>47</v>
      </c>
      <c r="C2" s="4">
        <v>4.2</v>
      </c>
    </row>
    <row r="3" spans="1:3" ht="15.75" thickBot="1" x14ac:dyDescent="0.3">
      <c r="A3" s="3">
        <v>2</v>
      </c>
      <c r="B3" s="4">
        <v>71</v>
      </c>
      <c r="C3" s="4">
        <v>8.1</v>
      </c>
    </row>
    <row r="4" spans="1:3" ht="15.75" thickBot="1" x14ac:dyDescent="0.3">
      <c r="A4" s="3">
        <v>3</v>
      </c>
      <c r="B4" s="4">
        <v>64</v>
      </c>
      <c r="C4" s="4">
        <v>6.8</v>
      </c>
    </row>
    <row r="5" spans="1:3" ht="15.75" thickBot="1" x14ac:dyDescent="0.3">
      <c r="A5" s="3">
        <v>4</v>
      </c>
      <c r="B5" s="4">
        <v>35</v>
      </c>
      <c r="C5" s="4">
        <v>4.3</v>
      </c>
    </row>
    <row r="6" spans="1:3" ht="15.75" thickBot="1" x14ac:dyDescent="0.3">
      <c r="A6" s="3">
        <v>5</v>
      </c>
      <c r="B6" s="4">
        <v>43</v>
      </c>
      <c r="C6" s="4">
        <v>5</v>
      </c>
    </row>
    <row r="7" spans="1:3" ht="15.75" thickBot="1" x14ac:dyDescent="0.3">
      <c r="A7" s="3">
        <v>6</v>
      </c>
      <c r="B7" s="4">
        <v>60</v>
      </c>
      <c r="C7" s="4">
        <v>7.5</v>
      </c>
    </row>
    <row r="8" spans="1:3" ht="15.75" thickBot="1" x14ac:dyDescent="0.3">
      <c r="A8" s="3">
        <v>7</v>
      </c>
      <c r="B8" s="4">
        <v>38</v>
      </c>
      <c r="C8" s="4">
        <v>4.7</v>
      </c>
    </row>
    <row r="9" spans="1:3" ht="15.75" thickBot="1" x14ac:dyDescent="0.3">
      <c r="A9" s="3">
        <v>8</v>
      </c>
      <c r="B9" s="4">
        <v>59</v>
      </c>
      <c r="C9" s="4">
        <v>5.9</v>
      </c>
    </row>
    <row r="10" spans="1:3" ht="15.75" thickBot="1" x14ac:dyDescent="0.3">
      <c r="A10" s="3">
        <v>9</v>
      </c>
      <c r="B10" s="4">
        <v>67</v>
      </c>
      <c r="C10" s="4">
        <v>6.9</v>
      </c>
    </row>
    <row r="11" spans="1:3" ht="15.75" thickBot="1" x14ac:dyDescent="0.3">
      <c r="A11" s="3">
        <v>10</v>
      </c>
      <c r="B11" s="4">
        <v>56</v>
      </c>
      <c r="C11" s="4">
        <v>5.7</v>
      </c>
    </row>
    <row r="12" spans="1:3" ht="15.75" thickBot="1" x14ac:dyDescent="0.3">
      <c r="A12" s="3">
        <v>11</v>
      </c>
      <c r="B12" s="4">
        <v>67</v>
      </c>
      <c r="C12" s="4">
        <v>5.7</v>
      </c>
    </row>
    <row r="13" spans="1:3" ht="15.75" thickBot="1" x14ac:dyDescent="0.3">
      <c r="A13" s="3">
        <v>12</v>
      </c>
      <c r="B13" s="4">
        <v>57</v>
      </c>
      <c r="C13" s="4">
        <v>5.4</v>
      </c>
    </row>
    <row r="14" spans="1:3" ht="15.75" thickBot="1" x14ac:dyDescent="0.3">
      <c r="A14" s="3">
        <v>13</v>
      </c>
      <c r="B14" s="4">
        <v>69</v>
      </c>
      <c r="C14" s="4">
        <v>7.5</v>
      </c>
    </row>
    <row r="15" spans="1:3" ht="15.75" thickBot="1" x14ac:dyDescent="0.3">
      <c r="A15" s="3">
        <v>14</v>
      </c>
      <c r="B15" s="4">
        <v>38</v>
      </c>
      <c r="C15" s="4">
        <v>3.8</v>
      </c>
    </row>
    <row r="16" spans="1:3" ht="15.75" thickBot="1" x14ac:dyDescent="0.3">
      <c r="A16" s="3">
        <v>15</v>
      </c>
      <c r="B16" s="4">
        <v>54</v>
      </c>
      <c r="C16" s="4">
        <v>5.9</v>
      </c>
    </row>
    <row r="17" spans="1:3" ht="15.75" thickBot="1" x14ac:dyDescent="0.3">
      <c r="A17" s="3">
        <v>16</v>
      </c>
      <c r="B17" s="4">
        <v>76</v>
      </c>
      <c r="C17" s="4">
        <v>6.3</v>
      </c>
    </row>
    <row r="18" spans="1:3" ht="15.75" thickBot="1" x14ac:dyDescent="0.3">
      <c r="A18" s="3">
        <v>17</v>
      </c>
      <c r="B18" s="4">
        <v>53</v>
      </c>
      <c r="C18" s="4">
        <v>5.7</v>
      </c>
    </row>
    <row r="19" spans="1:3" ht="15.75" thickBot="1" x14ac:dyDescent="0.3">
      <c r="A19" s="3">
        <v>18</v>
      </c>
      <c r="B19" s="4">
        <v>40</v>
      </c>
      <c r="C19" s="4">
        <v>4</v>
      </c>
    </row>
    <row r="20" spans="1:3" ht="15.75" thickBot="1" x14ac:dyDescent="0.3">
      <c r="A20" s="3">
        <v>19</v>
      </c>
      <c r="B20" s="4">
        <v>47</v>
      </c>
      <c r="C20" s="4">
        <v>5.2</v>
      </c>
    </row>
    <row r="21" spans="1:3" ht="15.75" thickBot="1" x14ac:dyDescent="0.3">
      <c r="A21" s="3">
        <v>20</v>
      </c>
      <c r="B21" s="4">
        <v>23</v>
      </c>
      <c r="C21" s="4">
        <v>2.2000000000000002</v>
      </c>
    </row>
    <row r="24" spans="1:3" ht="45" x14ac:dyDescent="0.25">
      <c r="A24" s="8" t="s">
        <v>23</v>
      </c>
    </row>
    <row r="25" spans="1:3" ht="15.75" thickBot="1" x14ac:dyDescent="0.3">
      <c r="A25" s="8"/>
    </row>
    <row r="26" spans="1:3" ht="30" x14ac:dyDescent="0.25">
      <c r="A26" s="9" t="s">
        <v>24</v>
      </c>
      <c r="B26" s="7"/>
    </row>
    <row r="27" spans="1:3" ht="30" x14ac:dyDescent="0.25">
      <c r="A27" s="8" t="s">
        <v>25</v>
      </c>
      <c r="B27">
        <v>0.89017060734518572</v>
      </c>
    </row>
    <row r="28" spans="1:3" x14ac:dyDescent="0.25">
      <c r="A28" s="8" t="s">
        <v>26</v>
      </c>
      <c r="B28">
        <v>0.79240371018129674</v>
      </c>
    </row>
    <row r="29" spans="1:3" ht="30" x14ac:dyDescent="0.25">
      <c r="A29" s="8" t="s">
        <v>27</v>
      </c>
      <c r="B29">
        <v>0.78087058296914647</v>
      </c>
    </row>
    <row r="30" spans="1:3" ht="30" x14ac:dyDescent="0.25">
      <c r="A30" s="8" t="s">
        <v>28</v>
      </c>
      <c r="B30">
        <v>0.67587284500773104</v>
      </c>
    </row>
    <row r="31" spans="1:3" ht="30.75" thickBot="1" x14ac:dyDescent="0.3">
      <c r="A31" s="10" t="s">
        <v>29</v>
      </c>
      <c r="B31" s="5">
        <v>20</v>
      </c>
    </row>
    <row r="33" spans="1:9" ht="15.75" thickBot="1" x14ac:dyDescent="0.3">
      <c r="A33" s="8" t="s">
        <v>30</v>
      </c>
      <c r="B33" s="8"/>
      <c r="C33" s="8"/>
      <c r="D33" s="8"/>
      <c r="E33" s="8"/>
      <c r="F33" s="8"/>
      <c r="G33" s="8"/>
      <c r="H33" s="8"/>
      <c r="I33" s="8"/>
    </row>
    <row r="34" spans="1:9" ht="30" x14ac:dyDescent="0.25">
      <c r="A34" s="11"/>
      <c r="B34" s="11" t="s">
        <v>35</v>
      </c>
      <c r="C34" s="11" t="s">
        <v>36</v>
      </c>
      <c r="D34" s="11" t="s">
        <v>37</v>
      </c>
      <c r="E34" s="11" t="s">
        <v>38</v>
      </c>
      <c r="F34" s="11" t="s">
        <v>39</v>
      </c>
      <c r="G34" s="8"/>
      <c r="H34" s="8"/>
      <c r="I34" s="8"/>
    </row>
    <row r="35" spans="1:9" ht="30" x14ac:dyDescent="0.25">
      <c r="A35" s="8" t="s">
        <v>31</v>
      </c>
      <c r="B35" s="8">
        <v>1</v>
      </c>
      <c r="C35" s="8">
        <v>31.385526152860805</v>
      </c>
      <c r="D35" s="8">
        <v>31.385526152860805</v>
      </c>
      <c r="E35" s="8">
        <v>68.706751916036893</v>
      </c>
      <c r="F35" s="8">
        <v>1.4731500134837403E-7</v>
      </c>
      <c r="G35" s="8"/>
      <c r="H35" s="8"/>
      <c r="I35" s="8"/>
    </row>
    <row r="36" spans="1:9" x14ac:dyDescent="0.25">
      <c r="A36" s="8" t="s">
        <v>32</v>
      </c>
      <c r="B36" s="8">
        <v>18</v>
      </c>
      <c r="C36" s="8">
        <v>8.2224738471392005</v>
      </c>
      <c r="D36" s="8">
        <v>0.45680410261884447</v>
      </c>
      <c r="E36" s="8"/>
      <c r="F36" s="8"/>
      <c r="G36" s="8"/>
      <c r="H36" s="8"/>
      <c r="I36" s="8"/>
    </row>
    <row r="37" spans="1:9" ht="15.75" thickBot="1" x14ac:dyDescent="0.3">
      <c r="A37" s="10" t="s">
        <v>33</v>
      </c>
      <c r="B37" s="10">
        <v>19</v>
      </c>
      <c r="C37" s="10">
        <v>39.608000000000004</v>
      </c>
      <c r="D37" s="10"/>
      <c r="E37" s="10"/>
      <c r="F37" s="10"/>
      <c r="G37" s="8"/>
      <c r="H37" s="8"/>
      <c r="I37" s="8"/>
    </row>
    <row r="38" spans="1:9" ht="15.75" thickBot="1" x14ac:dyDescent="0.3">
      <c r="A38" s="8"/>
      <c r="B38" s="8"/>
      <c r="C38" s="8"/>
      <c r="D38" s="8"/>
      <c r="E38" s="8"/>
      <c r="F38" s="8"/>
      <c r="G38" s="8"/>
      <c r="H38" s="8"/>
      <c r="I38" s="8"/>
    </row>
    <row r="39" spans="1:9" ht="30" x14ac:dyDescent="0.25">
      <c r="A39" s="11"/>
      <c r="B39" s="11" t="s">
        <v>40</v>
      </c>
      <c r="C39" s="11" t="s">
        <v>28</v>
      </c>
      <c r="D39" s="11" t="s">
        <v>41</v>
      </c>
      <c r="E39" s="11" t="s">
        <v>42</v>
      </c>
      <c r="F39" s="11" t="s">
        <v>43</v>
      </c>
      <c r="G39" s="11" t="s">
        <v>44</v>
      </c>
      <c r="H39" s="11" t="s">
        <v>45</v>
      </c>
      <c r="I39" s="11" t="s">
        <v>46</v>
      </c>
    </row>
    <row r="40" spans="1:9" x14ac:dyDescent="0.25">
      <c r="A40" s="8" t="s">
        <v>34</v>
      </c>
      <c r="B40" s="8">
        <v>0.67118915456874451</v>
      </c>
      <c r="C40" s="8">
        <v>0.60651618793325002</v>
      </c>
      <c r="D40" s="8">
        <v>1.1066302399213326</v>
      </c>
      <c r="E40" s="8">
        <v>0.28302456470941545</v>
      </c>
      <c r="F40" s="8">
        <v>-0.60305407242319586</v>
      </c>
      <c r="G40" s="8">
        <v>1.9454323815606849</v>
      </c>
      <c r="H40" s="8">
        <v>-0.60305407242319586</v>
      </c>
      <c r="I40" s="8">
        <v>1.9454323815606849</v>
      </c>
    </row>
    <row r="41" spans="1:9" ht="15.75" thickBot="1" x14ac:dyDescent="0.3">
      <c r="A41" s="10" t="s">
        <v>20</v>
      </c>
      <c r="B41" s="10">
        <v>9.151900085397098E-2</v>
      </c>
      <c r="C41" s="10">
        <v>1.1041080114784997E-2</v>
      </c>
      <c r="D41" s="10">
        <v>8.2889536080277892</v>
      </c>
      <c r="E41" s="10">
        <v>1.4731500134837377E-7</v>
      </c>
      <c r="F41" s="10">
        <v>6.8322552292752137E-2</v>
      </c>
      <c r="G41" s="10">
        <v>0.11471544941518982</v>
      </c>
      <c r="H41" s="10">
        <v>6.8322552292752137E-2</v>
      </c>
      <c r="I41" s="10">
        <v>0.11471544941518982</v>
      </c>
    </row>
    <row r="42" spans="1:9" x14ac:dyDescent="0.25">
      <c r="A42" s="8"/>
      <c r="B42" s="8"/>
      <c r="C42" s="8"/>
      <c r="D42" s="8"/>
      <c r="E42" s="8"/>
      <c r="F42" s="8"/>
      <c r="G42" s="8"/>
      <c r="H42" s="8"/>
      <c r="I42" s="8"/>
    </row>
    <row r="43" spans="1:9" x14ac:dyDescent="0.25">
      <c r="A43" s="8"/>
      <c r="B43" s="8"/>
      <c r="C43" s="8"/>
      <c r="D43" s="8"/>
      <c r="E43" s="8"/>
      <c r="F43" s="8"/>
      <c r="G43" s="8"/>
      <c r="H43" s="8"/>
      <c r="I43" s="8"/>
    </row>
    <row r="44" spans="1:9" x14ac:dyDescent="0.25">
      <c r="A44" s="8"/>
      <c r="B44" s="8"/>
      <c r="C44" s="8"/>
      <c r="D44" s="8"/>
      <c r="E44" s="8"/>
      <c r="F44" s="8"/>
      <c r="G44" s="8"/>
      <c r="H44" s="8"/>
      <c r="I44" s="8"/>
    </row>
    <row r="45" spans="1:9" ht="45" x14ac:dyDescent="0.25">
      <c r="A45" s="8" t="s">
        <v>47</v>
      </c>
      <c r="B45" s="8"/>
      <c r="C45" s="8"/>
      <c r="D45" s="8"/>
      <c r="E45" s="8" t="s">
        <v>51</v>
      </c>
      <c r="F45" s="8"/>
      <c r="G45" s="8"/>
      <c r="H45" s="8"/>
      <c r="I45" s="8"/>
    </row>
    <row r="46" spans="1:9" ht="15.75" thickBot="1" x14ac:dyDescent="0.3">
      <c r="A46" s="8"/>
      <c r="B46" s="8"/>
      <c r="C46" s="8"/>
      <c r="D46" s="8"/>
      <c r="E46" s="8"/>
      <c r="F46" s="8"/>
      <c r="G46" s="8"/>
      <c r="H46" s="8"/>
      <c r="I46" s="8"/>
    </row>
    <row r="47" spans="1:9" ht="30" x14ac:dyDescent="0.25">
      <c r="A47" s="11" t="s">
        <v>48</v>
      </c>
      <c r="B47" s="11" t="s">
        <v>49</v>
      </c>
      <c r="C47" s="11" t="s">
        <v>50</v>
      </c>
      <c r="D47" s="8"/>
      <c r="E47" s="11" t="s">
        <v>52</v>
      </c>
      <c r="F47" s="11" t="s">
        <v>21</v>
      </c>
      <c r="G47" s="8"/>
      <c r="H47" s="8"/>
      <c r="I47" s="8"/>
    </row>
    <row r="48" spans="1:9" x14ac:dyDescent="0.25">
      <c r="A48" s="8">
        <v>1</v>
      </c>
      <c r="B48" s="8">
        <v>4.9725821947053808</v>
      </c>
      <c r="C48" s="8">
        <v>-0.77258219470538059</v>
      </c>
      <c r="D48" s="8"/>
      <c r="E48" s="8">
        <v>2.5</v>
      </c>
      <c r="F48" s="8">
        <v>2.2000000000000002</v>
      </c>
      <c r="G48" s="8"/>
      <c r="H48" s="8"/>
      <c r="I48" s="8"/>
    </row>
    <row r="49" spans="1:9" x14ac:dyDescent="0.25">
      <c r="A49" s="8">
        <v>2</v>
      </c>
      <c r="B49" s="8">
        <v>7.1690382152006844</v>
      </c>
      <c r="C49" s="8">
        <v>0.93096178479931524</v>
      </c>
      <c r="D49" s="8"/>
      <c r="E49" s="8">
        <v>7.5</v>
      </c>
      <c r="F49" s="8">
        <v>3.8</v>
      </c>
      <c r="G49" s="8"/>
      <c r="H49" s="8"/>
      <c r="I49" s="8"/>
    </row>
    <row r="50" spans="1:9" x14ac:dyDescent="0.25">
      <c r="A50" s="8">
        <v>3</v>
      </c>
      <c r="B50" s="8">
        <v>6.5284052092228873</v>
      </c>
      <c r="C50" s="8">
        <v>0.27159479077711257</v>
      </c>
      <c r="D50" s="8"/>
      <c r="E50" s="8">
        <v>12.5</v>
      </c>
      <c r="F50" s="8">
        <v>4</v>
      </c>
      <c r="G50" s="8"/>
      <c r="H50" s="8"/>
      <c r="I50" s="8"/>
    </row>
    <row r="51" spans="1:9" x14ac:dyDescent="0.25">
      <c r="A51" s="8">
        <v>4</v>
      </c>
      <c r="B51" s="8">
        <v>3.8743541844577289</v>
      </c>
      <c r="C51" s="8">
        <v>0.42564581554227088</v>
      </c>
      <c r="D51" s="8"/>
      <c r="E51" s="8">
        <v>17.5</v>
      </c>
      <c r="F51" s="8">
        <v>4.2</v>
      </c>
      <c r="G51" s="8"/>
      <c r="H51" s="8"/>
      <c r="I51" s="8"/>
    </row>
    <row r="52" spans="1:9" x14ac:dyDescent="0.25">
      <c r="A52" s="8">
        <v>5</v>
      </c>
      <c r="B52" s="8">
        <v>4.6065061912894967</v>
      </c>
      <c r="C52" s="8">
        <v>0.39349380871050332</v>
      </c>
      <c r="D52" s="8"/>
      <c r="E52" s="8">
        <v>22.5</v>
      </c>
      <c r="F52" s="8">
        <v>4.3</v>
      </c>
      <c r="G52" s="8"/>
      <c r="H52" s="8"/>
      <c r="I52" s="8"/>
    </row>
    <row r="53" spans="1:9" x14ac:dyDescent="0.25">
      <c r="A53" s="8">
        <v>6</v>
      </c>
      <c r="B53" s="8">
        <v>6.1623292058070032</v>
      </c>
      <c r="C53" s="8">
        <v>1.3376707941929968</v>
      </c>
      <c r="D53" s="8"/>
      <c r="E53" s="8">
        <v>27.5</v>
      </c>
      <c r="F53" s="8">
        <v>4.7</v>
      </c>
      <c r="G53" s="8"/>
      <c r="H53" s="8"/>
      <c r="I53" s="8"/>
    </row>
    <row r="54" spans="1:9" x14ac:dyDescent="0.25">
      <c r="A54" s="8">
        <v>7</v>
      </c>
      <c r="B54" s="8">
        <v>4.1489111870196416</v>
      </c>
      <c r="C54" s="8">
        <v>0.55108881298035861</v>
      </c>
      <c r="D54" s="8"/>
      <c r="E54" s="8">
        <v>32.5</v>
      </c>
      <c r="F54" s="8">
        <v>5</v>
      </c>
      <c r="G54" s="8"/>
      <c r="H54" s="8"/>
      <c r="I54" s="8"/>
    </row>
    <row r="55" spans="1:9" x14ac:dyDescent="0.25">
      <c r="A55" s="8">
        <v>8</v>
      </c>
      <c r="B55" s="8">
        <v>6.0708102049530321</v>
      </c>
      <c r="C55" s="8">
        <v>-0.17081020495303179</v>
      </c>
      <c r="D55" s="8"/>
      <c r="E55" s="8">
        <v>37.5</v>
      </c>
      <c r="F55" s="8">
        <v>5.2</v>
      </c>
      <c r="G55" s="8"/>
      <c r="H55" s="8"/>
      <c r="I55" s="8"/>
    </row>
    <row r="56" spans="1:9" x14ac:dyDescent="0.25">
      <c r="A56" s="8">
        <v>9</v>
      </c>
      <c r="B56" s="8">
        <v>6.8029622117848003</v>
      </c>
      <c r="C56" s="8">
        <v>9.7037788215200038E-2</v>
      </c>
      <c r="D56" s="8"/>
      <c r="E56" s="8">
        <v>42.5</v>
      </c>
      <c r="F56" s="8">
        <v>5.4</v>
      </c>
      <c r="G56" s="8"/>
      <c r="H56" s="8"/>
      <c r="I56" s="8"/>
    </row>
    <row r="57" spans="1:9" x14ac:dyDescent="0.25">
      <c r="A57" s="8">
        <v>10</v>
      </c>
      <c r="B57" s="8">
        <v>5.7962532023911191</v>
      </c>
      <c r="C57" s="8">
        <v>-9.6253202391118897E-2</v>
      </c>
      <c r="D57" s="8"/>
      <c r="E57" s="8">
        <v>47.5</v>
      </c>
      <c r="F57" s="8">
        <v>5.7</v>
      </c>
      <c r="G57" s="8"/>
      <c r="H57" s="8"/>
      <c r="I57" s="8"/>
    </row>
    <row r="58" spans="1:9" x14ac:dyDescent="0.25">
      <c r="A58" s="8">
        <v>11</v>
      </c>
      <c r="B58" s="8">
        <v>6.8029622117848003</v>
      </c>
      <c r="C58" s="8">
        <v>-1.1029622117848001</v>
      </c>
      <c r="D58" s="8"/>
      <c r="E58" s="8">
        <v>52.5</v>
      </c>
      <c r="F58" s="8">
        <v>5.7</v>
      </c>
      <c r="G58" s="8"/>
      <c r="H58" s="8"/>
      <c r="I58" s="8"/>
    </row>
    <row r="59" spans="1:9" x14ac:dyDescent="0.25">
      <c r="A59" s="8">
        <v>12</v>
      </c>
      <c r="B59" s="8">
        <v>5.8877722032450901</v>
      </c>
      <c r="C59" s="8">
        <v>-0.48777220324508974</v>
      </c>
      <c r="D59" s="8"/>
      <c r="E59" s="8">
        <v>57.5</v>
      </c>
      <c r="F59" s="8">
        <v>5.7</v>
      </c>
      <c r="G59" s="8"/>
      <c r="H59" s="8"/>
      <c r="I59" s="8"/>
    </row>
    <row r="60" spans="1:9" x14ac:dyDescent="0.25">
      <c r="A60" s="8">
        <v>13</v>
      </c>
      <c r="B60" s="8">
        <v>6.9860002134927424</v>
      </c>
      <c r="C60" s="8">
        <v>0.51399978650725764</v>
      </c>
      <c r="D60" s="8"/>
      <c r="E60" s="8">
        <v>62.5</v>
      </c>
      <c r="F60" s="8">
        <v>5.9</v>
      </c>
      <c r="G60" s="8"/>
      <c r="H60" s="8"/>
      <c r="I60" s="8"/>
    </row>
    <row r="61" spans="1:9" x14ac:dyDescent="0.25">
      <c r="A61" s="8">
        <v>14</v>
      </c>
      <c r="B61" s="8">
        <v>4.1489111870196416</v>
      </c>
      <c r="C61" s="8">
        <v>-0.34891118701964174</v>
      </c>
      <c r="D61" s="8"/>
      <c r="E61" s="8">
        <v>67.5</v>
      </c>
      <c r="F61" s="8">
        <v>5.9</v>
      </c>
      <c r="G61" s="8"/>
      <c r="H61" s="8"/>
      <c r="I61" s="8"/>
    </row>
    <row r="62" spans="1:9" x14ac:dyDescent="0.25">
      <c r="A62" s="8">
        <v>15</v>
      </c>
      <c r="B62" s="8">
        <v>5.613215200683177</v>
      </c>
      <c r="C62" s="8">
        <v>0.28678479931682332</v>
      </c>
      <c r="D62" s="8"/>
      <c r="E62" s="8">
        <v>72.5</v>
      </c>
      <c r="F62" s="8">
        <v>6.3</v>
      </c>
      <c r="G62" s="8"/>
      <c r="H62" s="8"/>
      <c r="I62" s="8"/>
    </row>
    <row r="63" spans="1:9" x14ac:dyDescent="0.25">
      <c r="A63" s="8">
        <v>16</v>
      </c>
      <c r="B63" s="8">
        <v>7.6266332194705386</v>
      </c>
      <c r="C63" s="8">
        <v>-1.3266332194705388</v>
      </c>
      <c r="D63" s="8"/>
      <c r="E63" s="8">
        <v>77.5</v>
      </c>
      <c r="F63" s="8">
        <v>6.8</v>
      </c>
      <c r="G63" s="8"/>
      <c r="H63" s="8"/>
      <c r="I63" s="8"/>
    </row>
    <row r="64" spans="1:9" x14ac:dyDescent="0.25">
      <c r="A64" s="8">
        <v>17</v>
      </c>
      <c r="B64" s="8">
        <v>5.5216961998292069</v>
      </c>
      <c r="C64" s="8">
        <v>0.17830380017079328</v>
      </c>
      <c r="D64" s="8"/>
      <c r="E64" s="8">
        <v>82.5</v>
      </c>
      <c r="F64" s="8">
        <v>6.9</v>
      </c>
      <c r="G64" s="8"/>
      <c r="H64" s="8"/>
      <c r="I64" s="8"/>
    </row>
    <row r="65" spans="1:9" x14ac:dyDescent="0.25">
      <c r="A65" s="8">
        <v>18</v>
      </c>
      <c r="B65" s="8">
        <v>4.3319491887275836</v>
      </c>
      <c r="C65" s="8">
        <v>-0.33194918872758361</v>
      </c>
      <c r="D65" s="8"/>
      <c r="E65" s="8">
        <v>87.5</v>
      </c>
      <c r="F65" s="8">
        <v>7.5</v>
      </c>
      <c r="G65" s="8"/>
      <c r="H65" s="8"/>
      <c r="I65" s="8"/>
    </row>
    <row r="66" spans="1:9" x14ac:dyDescent="0.25">
      <c r="A66" s="8">
        <v>19</v>
      </c>
      <c r="B66" s="8">
        <v>4.9725821947053808</v>
      </c>
      <c r="C66" s="8">
        <v>0.22741780529461941</v>
      </c>
      <c r="D66" s="8"/>
      <c r="E66" s="8">
        <v>92.5</v>
      </c>
      <c r="F66" s="8">
        <v>7.5</v>
      </c>
      <c r="G66" s="8"/>
      <c r="H66" s="8"/>
      <c r="I66" s="8"/>
    </row>
    <row r="67" spans="1:9" ht="15.75" thickBot="1" x14ac:dyDescent="0.3">
      <c r="A67" s="10">
        <v>20</v>
      </c>
      <c r="B67" s="10">
        <v>2.7761261742100771</v>
      </c>
      <c r="C67" s="10">
        <v>-0.57612617421007695</v>
      </c>
      <c r="D67" s="8"/>
      <c r="E67" s="10">
        <v>97.5</v>
      </c>
      <c r="F67" s="10">
        <v>8.1</v>
      </c>
      <c r="G67" s="8"/>
      <c r="H67" s="8"/>
      <c r="I67" s="8"/>
    </row>
  </sheetData>
  <sortState xmlns:xlrd2="http://schemas.microsoft.com/office/spreadsheetml/2017/richdata2" ref="F48:F67">
    <sortCondition ref="F48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E61A-5E0D-4433-BFC1-29B236839236}">
  <dimension ref="A3:B20"/>
  <sheetViews>
    <sheetView workbookViewId="0">
      <selection activeCell="A18" sqref="A18:B18"/>
      <pivotSelection pane="bottomRight" showHeader="1" extendable="1" axis="axisRow" start="14" max="17" activeRow="17" previousRow="17" click="1" r:id="rId1">
        <pivotArea dataOnly="0" fieldPosition="0">
          <references count="1">
            <reference field="1" count="1">
              <x v="14"/>
            </reference>
          </references>
        </pivotArea>
      </pivotSelection>
    </sheetView>
  </sheetViews>
  <sheetFormatPr defaultRowHeight="15" x14ac:dyDescent="0.25"/>
  <cols>
    <col min="1" max="1" width="13.140625" bestFit="1" customWidth="1"/>
    <col min="2" max="3" width="10.140625" bestFit="1" customWidth="1"/>
  </cols>
  <sheetData>
    <row r="3" spans="1:2" x14ac:dyDescent="0.25">
      <c r="A3" s="16" t="s">
        <v>59</v>
      </c>
      <c r="B3" t="s">
        <v>62</v>
      </c>
    </row>
    <row r="4" spans="1:2" x14ac:dyDescent="0.25">
      <c r="A4" s="17">
        <v>2.2000000000000002</v>
      </c>
      <c r="B4">
        <v>1</v>
      </c>
    </row>
    <row r="5" spans="1:2" x14ac:dyDescent="0.25">
      <c r="A5" s="17">
        <v>3.8</v>
      </c>
      <c r="B5">
        <v>1</v>
      </c>
    </row>
    <row r="6" spans="1:2" x14ac:dyDescent="0.25">
      <c r="A6" s="17">
        <v>4</v>
      </c>
      <c r="B6">
        <v>1</v>
      </c>
    </row>
    <row r="7" spans="1:2" x14ac:dyDescent="0.25">
      <c r="A7" s="17">
        <v>4.2</v>
      </c>
      <c r="B7">
        <v>1</v>
      </c>
    </row>
    <row r="8" spans="1:2" x14ac:dyDescent="0.25">
      <c r="A8" s="17">
        <v>4.3</v>
      </c>
      <c r="B8">
        <v>1</v>
      </c>
    </row>
    <row r="9" spans="1:2" x14ac:dyDescent="0.25">
      <c r="A9" s="17">
        <v>4.7</v>
      </c>
      <c r="B9">
        <v>1</v>
      </c>
    </row>
    <row r="10" spans="1:2" x14ac:dyDescent="0.25">
      <c r="A10" s="17">
        <v>5</v>
      </c>
      <c r="B10">
        <v>1</v>
      </c>
    </row>
    <row r="11" spans="1:2" x14ac:dyDescent="0.25">
      <c r="A11" s="17">
        <v>5.2</v>
      </c>
      <c r="B11">
        <v>1</v>
      </c>
    </row>
    <row r="12" spans="1:2" x14ac:dyDescent="0.25">
      <c r="A12" s="17">
        <v>5.4</v>
      </c>
      <c r="B12">
        <v>1</v>
      </c>
    </row>
    <row r="13" spans="1:2" x14ac:dyDescent="0.25">
      <c r="A13" s="17">
        <v>5.7</v>
      </c>
      <c r="B13">
        <v>3</v>
      </c>
    </row>
    <row r="14" spans="1:2" x14ac:dyDescent="0.25">
      <c r="A14" s="17">
        <v>5.9</v>
      </c>
      <c r="B14">
        <v>2</v>
      </c>
    </row>
    <row r="15" spans="1:2" x14ac:dyDescent="0.25">
      <c r="A15" s="17">
        <v>6.3</v>
      </c>
      <c r="B15">
        <v>1</v>
      </c>
    </row>
    <row r="16" spans="1:2" x14ac:dyDescent="0.25">
      <c r="A16" s="17">
        <v>6.8</v>
      </c>
      <c r="B16">
        <v>1</v>
      </c>
    </row>
    <row r="17" spans="1:2" x14ac:dyDescent="0.25">
      <c r="A17" s="17">
        <v>6.9</v>
      </c>
      <c r="B17">
        <v>1</v>
      </c>
    </row>
    <row r="18" spans="1:2" x14ac:dyDescent="0.25">
      <c r="A18" s="17">
        <v>7.5</v>
      </c>
      <c r="B18">
        <v>2</v>
      </c>
    </row>
    <row r="19" spans="1:2" x14ac:dyDescent="0.25">
      <c r="A19" s="17">
        <v>8.1</v>
      </c>
      <c r="B19">
        <v>1</v>
      </c>
    </row>
    <row r="20" spans="1:2" x14ac:dyDescent="0.25">
      <c r="A20" s="17" t="s">
        <v>60</v>
      </c>
      <c r="B20">
        <v>20</v>
      </c>
    </row>
  </sheetData>
  <conditionalFormatting pivot="1" sqref="B4:B19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7F7C-039A-481B-AE5B-ADDEB22899F8}">
  <dimension ref="A1:G35"/>
  <sheetViews>
    <sheetView tabSelected="1" workbookViewId="0">
      <selection activeCell="C36" sqref="C36"/>
    </sheetView>
  </sheetViews>
  <sheetFormatPr defaultRowHeight="15" x14ac:dyDescent="0.25"/>
  <cols>
    <col min="2" max="2" width="9.42578125" bestFit="1" customWidth="1"/>
  </cols>
  <sheetData>
    <row r="1" spans="1:7" ht="45" x14ac:dyDescent="0.25">
      <c r="A1" s="12" t="s">
        <v>0</v>
      </c>
      <c r="B1" s="12" t="s">
        <v>20</v>
      </c>
      <c r="C1" s="12" t="s">
        <v>21</v>
      </c>
      <c r="D1" s="12" t="s">
        <v>53</v>
      </c>
      <c r="E1" s="12" t="s">
        <v>54</v>
      </c>
      <c r="F1" s="12" t="s">
        <v>55</v>
      </c>
      <c r="G1" s="12" t="s">
        <v>56</v>
      </c>
    </row>
    <row r="2" spans="1:7" x14ac:dyDescent="0.25">
      <c r="A2" s="14">
        <v>1</v>
      </c>
      <c r="B2" s="14">
        <v>47</v>
      </c>
      <c r="C2" s="14">
        <v>4.2</v>
      </c>
      <c r="D2" s="13">
        <f>_xlfn.RANK.AVG(B2,$B$2:$B$21,1)</f>
        <v>7.5</v>
      </c>
      <c r="E2" s="13">
        <f>_xlfn.RANK.AVG(C2,$C$2:$C$21,1)</f>
        <v>4</v>
      </c>
      <c r="F2" s="13">
        <f>E2-D2</f>
        <v>-3.5</v>
      </c>
      <c r="G2" s="13">
        <f>F2*F2</f>
        <v>12.25</v>
      </c>
    </row>
    <row r="3" spans="1:7" x14ac:dyDescent="0.25">
      <c r="A3" s="14">
        <v>2</v>
      </c>
      <c r="B3" s="14">
        <v>71</v>
      </c>
      <c r="C3" s="14">
        <v>8.1</v>
      </c>
      <c r="D3" s="13">
        <f t="shared" ref="D3:D21" si="0">_xlfn.RANK.AVG(B3,$B$2:$B$21,1)</f>
        <v>19</v>
      </c>
      <c r="E3" s="13">
        <f t="shared" ref="E3:E21" si="1">_xlfn.RANK.AVG(C3,$C$2:$C$21,1)</f>
        <v>20</v>
      </c>
      <c r="F3" s="13">
        <f t="shared" ref="F3:F21" si="2">E3-D3</f>
        <v>1</v>
      </c>
      <c r="G3" s="13">
        <f t="shared" ref="G3:G21" si="3">F3*F3</f>
        <v>1</v>
      </c>
    </row>
    <row r="4" spans="1:7" x14ac:dyDescent="0.25">
      <c r="A4" s="14">
        <v>3</v>
      </c>
      <c r="B4" s="14">
        <v>64</v>
      </c>
      <c r="C4" s="14">
        <v>6.8</v>
      </c>
      <c r="D4" s="13">
        <f t="shared" si="0"/>
        <v>15</v>
      </c>
      <c r="E4" s="13">
        <f t="shared" si="1"/>
        <v>16</v>
      </c>
      <c r="F4" s="13">
        <f t="shared" si="2"/>
        <v>1</v>
      </c>
      <c r="G4" s="13">
        <f t="shared" si="3"/>
        <v>1</v>
      </c>
    </row>
    <row r="5" spans="1:7" x14ac:dyDescent="0.25">
      <c r="A5" s="14">
        <v>4</v>
      </c>
      <c r="B5" s="14">
        <v>35</v>
      </c>
      <c r="C5" s="14">
        <v>4.3</v>
      </c>
      <c r="D5" s="13">
        <f t="shared" si="0"/>
        <v>2</v>
      </c>
      <c r="E5" s="13">
        <f t="shared" si="1"/>
        <v>5</v>
      </c>
      <c r="F5" s="13">
        <f t="shared" si="2"/>
        <v>3</v>
      </c>
      <c r="G5" s="13">
        <f t="shared" si="3"/>
        <v>9</v>
      </c>
    </row>
    <row r="6" spans="1:7" x14ac:dyDescent="0.25">
      <c r="A6" s="14">
        <v>5</v>
      </c>
      <c r="B6" s="14">
        <v>43</v>
      </c>
      <c r="C6" s="14">
        <v>5</v>
      </c>
      <c r="D6" s="13">
        <f t="shared" si="0"/>
        <v>6</v>
      </c>
      <c r="E6" s="13">
        <f t="shared" si="1"/>
        <v>7</v>
      </c>
      <c r="F6" s="13">
        <f t="shared" si="2"/>
        <v>1</v>
      </c>
      <c r="G6" s="13">
        <f t="shared" si="3"/>
        <v>1</v>
      </c>
    </row>
    <row r="7" spans="1:7" x14ac:dyDescent="0.25">
      <c r="A7" s="14">
        <v>6</v>
      </c>
      <c r="B7" s="14">
        <v>60</v>
      </c>
      <c r="C7" s="14">
        <v>7.5</v>
      </c>
      <c r="D7" s="13">
        <f t="shared" si="0"/>
        <v>14</v>
      </c>
      <c r="E7" s="13">
        <f t="shared" si="1"/>
        <v>18.5</v>
      </c>
      <c r="F7" s="13">
        <f t="shared" si="2"/>
        <v>4.5</v>
      </c>
      <c r="G7" s="13">
        <f t="shared" si="3"/>
        <v>20.25</v>
      </c>
    </row>
    <row r="8" spans="1:7" x14ac:dyDescent="0.25">
      <c r="A8" s="14">
        <v>7</v>
      </c>
      <c r="B8" s="14">
        <v>38</v>
      </c>
      <c r="C8" s="14">
        <v>4.7</v>
      </c>
      <c r="D8" s="13">
        <f t="shared" si="0"/>
        <v>3.5</v>
      </c>
      <c r="E8" s="13">
        <f t="shared" si="1"/>
        <v>6</v>
      </c>
      <c r="F8" s="13">
        <f t="shared" si="2"/>
        <v>2.5</v>
      </c>
      <c r="G8" s="13">
        <f t="shared" si="3"/>
        <v>6.25</v>
      </c>
    </row>
    <row r="9" spans="1:7" x14ac:dyDescent="0.25">
      <c r="A9" s="14">
        <v>8</v>
      </c>
      <c r="B9" s="14">
        <v>59</v>
      </c>
      <c r="C9" s="14">
        <v>5.9</v>
      </c>
      <c r="D9" s="13">
        <f t="shared" si="0"/>
        <v>13</v>
      </c>
      <c r="E9" s="13">
        <f t="shared" si="1"/>
        <v>13.5</v>
      </c>
      <c r="F9" s="13">
        <f t="shared" si="2"/>
        <v>0.5</v>
      </c>
      <c r="G9" s="13">
        <f t="shared" si="3"/>
        <v>0.25</v>
      </c>
    </row>
    <row r="10" spans="1:7" x14ac:dyDescent="0.25">
      <c r="A10" s="14">
        <v>9</v>
      </c>
      <c r="B10" s="14">
        <v>67</v>
      </c>
      <c r="C10" s="14">
        <v>6.9</v>
      </c>
      <c r="D10" s="13">
        <f t="shared" si="0"/>
        <v>16.5</v>
      </c>
      <c r="E10" s="13">
        <f t="shared" si="1"/>
        <v>17</v>
      </c>
      <c r="F10" s="13">
        <f t="shared" si="2"/>
        <v>0.5</v>
      </c>
      <c r="G10" s="13">
        <f t="shared" si="3"/>
        <v>0.25</v>
      </c>
    </row>
    <row r="11" spans="1:7" x14ac:dyDescent="0.25">
      <c r="A11" s="14">
        <v>10</v>
      </c>
      <c r="B11" s="14">
        <v>56</v>
      </c>
      <c r="C11" s="14">
        <v>5.7</v>
      </c>
      <c r="D11" s="13">
        <f t="shared" si="0"/>
        <v>11</v>
      </c>
      <c r="E11" s="13">
        <f t="shared" si="1"/>
        <v>11</v>
      </c>
      <c r="F11" s="13">
        <f t="shared" si="2"/>
        <v>0</v>
      </c>
      <c r="G11" s="13">
        <f t="shared" si="3"/>
        <v>0</v>
      </c>
    </row>
    <row r="12" spans="1:7" x14ac:dyDescent="0.25">
      <c r="A12" s="14">
        <v>11</v>
      </c>
      <c r="B12" s="14">
        <v>67</v>
      </c>
      <c r="C12" s="14">
        <v>5.7</v>
      </c>
      <c r="D12" s="13">
        <f t="shared" si="0"/>
        <v>16.5</v>
      </c>
      <c r="E12" s="13">
        <f t="shared" si="1"/>
        <v>11</v>
      </c>
      <c r="F12" s="13">
        <f t="shared" si="2"/>
        <v>-5.5</v>
      </c>
      <c r="G12" s="13">
        <f t="shared" si="3"/>
        <v>30.25</v>
      </c>
    </row>
    <row r="13" spans="1:7" x14ac:dyDescent="0.25">
      <c r="A13" s="14">
        <v>12</v>
      </c>
      <c r="B13" s="14">
        <v>57</v>
      </c>
      <c r="C13" s="14">
        <v>5.4</v>
      </c>
      <c r="D13" s="13">
        <f t="shared" si="0"/>
        <v>12</v>
      </c>
      <c r="E13" s="13">
        <f t="shared" si="1"/>
        <v>9</v>
      </c>
      <c r="F13" s="13">
        <f t="shared" si="2"/>
        <v>-3</v>
      </c>
      <c r="G13" s="13">
        <f t="shared" si="3"/>
        <v>9</v>
      </c>
    </row>
    <row r="14" spans="1:7" x14ac:dyDescent="0.25">
      <c r="A14" s="14">
        <v>13</v>
      </c>
      <c r="B14" s="14">
        <v>69</v>
      </c>
      <c r="C14" s="14">
        <v>7.5</v>
      </c>
      <c r="D14" s="13">
        <f t="shared" si="0"/>
        <v>18</v>
      </c>
      <c r="E14" s="13">
        <f t="shared" si="1"/>
        <v>18.5</v>
      </c>
      <c r="F14" s="13">
        <f t="shared" si="2"/>
        <v>0.5</v>
      </c>
      <c r="G14" s="13">
        <f t="shared" si="3"/>
        <v>0.25</v>
      </c>
    </row>
    <row r="15" spans="1:7" x14ac:dyDescent="0.25">
      <c r="A15" s="14">
        <v>14</v>
      </c>
      <c r="B15" s="14">
        <v>38</v>
      </c>
      <c r="C15" s="14">
        <v>3.8</v>
      </c>
      <c r="D15" s="13">
        <f t="shared" si="0"/>
        <v>3.5</v>
      </c>
      <c r="E15" s="13">
        <f t="shared" si="1"/>
        <v>2</v>
      </c>
      <c r="F15" s="13">
        <f t="shared" si="2"/>
        <v>-1.5</v>
      </c>
      <c r="G15" s="13">
        <f t="shared" si="3"/>
        <v>2.25</v>
      </c>
    </row>
    <row r="16" spans="1:7" x14ac:dyDescent="0.25">
      <c r="A16" s="14">
        <v>15</v>
      </c>
      <c r="B16" s="14">
        <v>54</v>
      </c>
      <c r="C16" s="14">
        <v>5.9</v>
      </c>
      <c r="D16" s="13">
        <f t="shared" si="0"/>
        <v>10</v>
      </c>
      <c r="E16" s="13">
        <f t="shared" si="1"/>
        <v>13.5</v>
      </c>
      <c r="F16" s="13">
        <f t="shared" si="2"/>
        <v>3.5</v>
      </c>
      <c r="G16" s="13">
        <f t="shared" si="3"/>
        <v>12.25</v>
      </c>
    </row>
    <row r="17" spans="1:7" x14ac:dyDescent="0.25">
      <c r="A17" s="14">
        <v>16</v>
      </c>
      <c r="B17" s="14">
        <v>76</v>
      </c>
      <c r="C17" s="14">
        <v>6.3</v>
      </c>
      <c r="D17" s="13">
        <f t="shared" si="0"/>
        <v>20</v>
      </c>
      <c r="E17" s="13">
        <f t="shared" si="1"/>
        <v>15</v>
      </c>
      <c r="F17" s="13">
        <f t="shared" si="2"/>
        <v>-5</v>
      </c>
      <c r="G17" s="13">
        <f t="shared" si="3"/>
        <v>25</v>
      </c>
    </row>
    <row r="18" spans="1:7" x14ac:dyDescent="0.25">
      <c r="A18" s="14">
        <v>17</v>
      </c>
      <c r="B18" s="14">
        <v>53</v>
      </c>
      <c r="C18" s="14">
        <v>5.7</v>
      </c>
      <c r="D18" s="13">
        <f t="shared" si="0"/>
        <v>9</v>
      </c>
      <c r="E18" s="13">
        <f t="shared" si="1"/>
        <v>11</v>
      </c>
      <c r="F18" s="13">
        <f t="shared" si="2"/>
        <v>2</v>
      </c>
      <c r="G18" s="13">
        <f t="shared" si="3"/>
        <v>4</v>
      </c>
    </row>
    <row r="19" spans="1:7" x14ac:dyDescent="0.25">
      <c r="A19" s="14">
        <v>18</v>
      </c>
      <c r="B19" s="14">
        <v>40</v>
      </c>
      <c r="C19" s="14">
        <v>4</v>
      </c>
      <c r="D19" s="13">
        <f t="shared" si="0"/>
        <v>5</v>
      </c>
      <c r="E19" s="13">
        <f t="shared" si="1"/>
        <v>3</v>
      </c>
      <c r="F19" s="13">
        <f t="shared" si="2"/>
        <v>-2</v>
      </c>
      <c r="G19" s="13">
        <f t="shared" si="3"/>
        <v>4</v>
      </c>
    </row>
    <row r="20" spans="1:7" x14ac:dyDescent="0.25">
      <c r="A20" s="14">
        <v>19</v>
      </c>
      <c r="B20" s="14">
        <v>47</v>
      </c>
      <c r="C20" s="14">
        <v>5.2</v>
      </c>
      <c r="D20" s="13">
        <f t="shared" si="0"/>
        <v>7.5</v>
      </c>
      <c r="E20" s="13">
        <f t="shared" si="1"/>
        <v>8</v>
      </c>
      <c r="F20" s="13">
        <f t="shared" si="2"/>
        <v>0.5</v>
      </c>
      <c r="G20" s="13">
        <f t="shared" si="3"/>
        <v>0.25</v>
      </c>
    </row>
    <row r="21" spans="1:7" x14ac:dyDescent="0.25">
      <c r="A21" s="14">
        <v>20</v>
      </c>
      <c r="B21" s="14">
        <v>23</v>
      </c>
      <c r="C21" s="14">
        <v>2.2000000000000002</v>
      </c>
      <c r="D21" s="13">
        <f t="shared" si="0"/>
        <v>1</v>
      </c>
      <c r="E21" s="13">
        <f t="shared" si="1"/>
        <v>1</v>
      </c>
      <c r="F21" s="13">
        <f t="shared" si="2"/>
        <v>0</v>
      </c>
      <c r="G21" s="13">
        <f t="shared" si="3"/>
        <v>0</v>
      </c>
    </row>
    <row r="22" spans="1:7" x14ac:dyDescent="0.25">
      <c r="G22" s="15">
        <f>SUM(G2:G21)</f>
        <v>138.5</v>
      </c>
    </row>
    <row r="25" spans="1:7" x14ac:dyDescent="0.25">
      <c r="A25" t="s">
        <v>1</v>
      </c>
      <c r="B25" t="s">
        <v>57</v>
      </c>
      <c r="C25" t="s">
        <v>4</v>
      </c>
      <c r="D25" t="s">
        <v>3</v>
      </c>
    </row>
    <row r="26" spans="1:7" x14ac:dyDescent="0.25">
      <c r="A26" t="s">
        <v>58</v>
      </c>
      <c r="B26" t="s">
        <v>13</v>
      </c>
      <c r="C26">
        <f>COUNT(X)</f>
        <v>20</v>
      </c>
      <c r="D26" t="str">
        <f ca="1">_xlfn.FORMULATEXT(C26)</f>
        <v>=COUNT(X)</v>
      </c>
    </row>
    <row r="27" spans="1:7" ht="17.25" x14ac:dyDescent="0.25">
      <c r="A27" t="s">
        <v>61</v>
      </c>
      <c r="C27">
        <f>G22</f>
        <v>138.5</v>
      </c>
      <c r="D27" t="str">
        <f ca="1">_xlfn.FORMULATEXT(C27)</f>
        <v>=G22</v>
      </c>
    </row>
    <row r="28" spans="1:7" x14ac:dyDescent="0.25">
      <c r="B28">
        <v>38</v>
      </c>
      <c r="C28">
        <v>2</v>
      </c>
    </row>
    <row r="29" spans="1:7" x14ac:dyDescent="0.25">
      <c r="B29">
        <v>47</v>
      </c>
      <c r="C29">
        <v>2</v>
      </c>
    </row>
    <row r="30" spans="1:7" x14ac:dyDescent="0.25">
      <c r="B30" s="18">
        <v>67</v>
      </c>
      <c r="C30">
        <v>2</v>
      </c>
    </row>
    <row r="31" spans="1:7" x14ac:dyDescent="0.25">
      <c r="B31">
        <v>5.7</v>
      </c>
      <c r="C31">
        <v>3</v>
      </c>
    </row>
    <row r="32" spans="1:7" x14ac:dyDescent="0.25">
      <c r="B32">
        <v>5.9</v>
      </c>
      <c r="C32">
        <v>2</v>
      </c>
    </row>
    <row r="33" spans="1:3" x14ac:dyDescent="0.25">
      <c r="B33">
        <v>7.5</v>
      </c>
      <c r="C33">
        <v>2</v>
      </c>
    </row>
    <row r="35" spans="1:3" x14ac:dyDescent="0.25">
      <c r="A35" t="s">
        <v>63</v>
      </c>
      <c r="B35" t="s">
        <v>14</v>
      </c>
      <c r="C35">
        <f>1-(6*C27+(1/12)*(C28^3-C28)+(1/12)*(C29^3-C29)+(1/12)*(C30^3-C30)+(1/12)*(C31^3-C31)+(1/12)*(C32^3-C32)+(1/12)*(C33^3-C33))/(C26^3-C26)</f>
        <v>0.89530075187969926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Sheet1</vt:lpstr>
      <vt:lpstr>Sheet2</vt:lpstr>
      <vt:lpstr>Sheet4</vt:lpstr>
      <vt:lpstr>sheet3</vt:lpstr>
      <vt:lpstr>change_in_production__Y</vt:lpstr>
      <vt:lpstr>n</vt:lpstr>
      <vt:lpstr>P.E.</vt:lpstr>
      <vt:lpstr>Production__X</vt:lpstr>
      <vt:lpstr>r_</vt:lpstr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Sarbesh Shakya</dc:creator>
  <cp:lastModifiedBy>LOQ</cp:lastModifiedBy>
  <dcterms:created xsi:type="dcterms:W3CDTF">2026-08-27T07:33:32Z</dcterms:created>
  <dcterms:modified xsi:type="dcterms:W3CDTF">2026-09-02T16:50:29Z</dcterms:modified>
</cp:coreProperties>
</file>